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Formulas" state="visible" r:id="rId6"/>
    <sheet sheetId="4" name="Prices" state="visible" r:id="rId7"/>
    <sheet sheetId="5" name="Cost_Breakdown" state="visible" r:id="rId8"/>
    <sheet sheetId="6" name="Commitment_Compare" state="visible" r:id="rId9"/>
    <sheet sheetId="7" name="Pricing_Strategy" state="visible" r:id="rId10"/>
    <sheet sheetId="8" name="Sensitivity" state="visible" r:id="rId11"/>
    <sheet sheetId="9" name="Finance_Summary" state="visible" r:id="rId12"/>
  </sheets>
  <calcPr calcId="171027"/>
</workbook>
</file>

<file path=xl/sharedStrings.xml><?xml version="1.0" encoding="utf-8"?>
<sst xmlns="http://schemas.openxmlformats.org/spreadsheetml/2006/main" count="470" uniqueCount="291">
  <si>
    <t>Workbook</t>
  </si>
  <si>
    <t>Azure Cost Model - ArticlePod</t>
  </si>
  <si>
    <t>Generated</t>
  </si>
  <si>
    <t>2026-02-15T00:29:43.234Z</t>
  </si>
  <si>
    <t>Region</t>
  </si>
  <si>
    <t>eastus</t>
  </si>
  <si>
    <t>Currency</t>
  </si>
  <si>
    <t>USD</t>
  </si>
  <si>
    <t>How to use</t>
  </si>
  <si>
    <t>Go to Inputs tab, change green cells, pick scenario in B3, and review Finance_Summary.</t>
  </si>
  <si>
    <t>Legend Input</t>
  </si>
  <si>
    <t>Green cells are editable assumptions</t>
  </si>
  <si>
    <t>Legend Calculated</t>
  </si>
  <si>
    <t>Blue cells are formulas or computed outputs</t>
  </si>
  <si>
    <t>Pricing source</t>
  </si>
  <si>
    <t>https://prices.azure.com/api/retail/prices</t>
  </si>
  <si>
    <t>Section</t>
  </si>
  <si>
    <t>Parameter</t>
  </si>
  <si>
    <t>Value</t>
  </si>
  <si>
    <t>Unit</t>
  </si>
  <si>
    <t>Low</t>
  </si>
  <si>
    <t>High</t>
  </si>
  <si>
    <t>Scenario</t>
  </si>
  <si>
    <t>Selected Scenario</t>
  </si>
  <si>
    <t>Base</t>
  </si>
  <si>
    <t>(Low/Base/High)</t>
  </si>
  <si>
    <t>Global</t>
  </si>
  <si>
    <t>Days per month</t>
  </si>
  <si>
    <t>days</t>
  </si>
  <si>
    <t>Hours per month</t>
  </si>
  <si>
    <t>hours</t>
  </si>
  <si>
    <t>Headroom factor</t>
  </si>
  <si>
    <t>x</t>
  </si>
  <si>
    <t>VM count</t>
  </si>
  <si>
    <t>count</t>
  </si>
  <si>
    <t>TTS success rate</t>
  </si>
  <si>
    <t>fraction</t>
  </si>
  <si>
    <t>Retry rate</t>
  </si>
  <si>
    <t>DB backup multiplier</t>
  </si>
  <si>
    <t>Infra sizing knobs</t>
  </si>
  <si>
    <t>Knob</t>
  </si>
  <si>
    <t>Postgres vCores</t>
  </si>
  <si>
    <t>Postgres storage GB</t>
  </si>
  <si>
    <t>GB</t>
  </si>
  <si>
    <t>Blob storage floor GB</t>
  </si>
  <si>
    <t>Blob audio retention multiplier</t>
  </si>
  <si>
    <t>Table storage minimum GB</t>
  </si>
  <si>
    <t>Table DB growth multiplier</t>
  </si>
  <si>
    <t>Cohort</t>
  </si>
  <si>
    <t>Free</t>
  </si>
  <si>
    <t>Pro</t>
  </si>
  <si>
    <t>Team</t>
  </si>
  <si>
    <t>Users</t>
  </si>
  <si>
    <t>Active users</t>
  </si>
  <si>
    <t>Usage</t>
  </si>
  <si>
    <t>Articles per user per day</t>
  </si>
  <si>
    <t>count/day</t>
  </si>
  <si>
    <t>Peak submissions per hour /1000 users</t>
  </si>
  <si>
    <t>count/hour</t>
  </si>
  <si>
    <t>Content</t>
  </si>
  <si>
    <t>Average article minutes</t>
  </si>
  <si>
    <t>minutes</t>
  </si>
  <si>
    <t>Average words per article</t>
  </si>
  <si>
    <t>words</t>
  </si>
  <si>
    <t>Mix</t>
  </si>
  <si>
    <t>% URL</t>
  </si>
  <si>
    <t>% PDF</t>
  </si>
  <si>
    <t>% HTML snapshot</t>
  </si>
  <si>
    <t>Media</t>
  </si>
  <si>
    <t>Output audio MB per minute</t>
  </si>
  <si>
    <t>MB/min</t>
  </si>
  <si>
    <t>Blob reads per episode per month</t>
  </si>
  <si>
    <t>Network</t>
  </si>
  <si>
    <t>Egress GB per user per month</t>
  </si>
  <si>
    <t>GB/month</t>
  </si>
  <si>
    <t>DB</t>
  </si>
  <si>
    <t>DB rows per article</t>
  </si>
  <si>
    <t>rows</t>
  </si>
  <si>
    <t>DB storage KB per article</t>
  </si>
  <si>
    <t>KB</t>
  </si>
  <si>
    <t>Table</t>
  </si>
  <si>
    <t>Table ops per article</t>
  </si>
  <si>
    <t>ops</t>
  </si>
  <si>
    <t>Scenario Multipliers</t>
  </si>
  <si>
    <t>User multiplier</t>
  </si>
  <si>
    <t>Usage multiplier</t>
  </si>
  <si>
    <t>Egress multiplier</t>
  </si>
  <si>
    <t>Prices</t>
  </si>
  <si>
    <t>Meter</t>
  </si>
  <si>
    <t>VM hourly PAYG</t>
  </si>
  <si>
    <t>USD/hour</t>
  </si>
  <si>
    <t>VM reservation 1Y</t>
  </si>
  <si>
    <t>USD upfront</t>
  </si>
  <si>
    <t>VM reservation 3Y</t>
  </si>
  <si>
    <t>Postgres vCore hourly PAYG</t>
  </si>
  <si>
    <t>Postgres vCore reservation 1Y</t>
  </si>
  <si>
    <t>Postgres vCore reservation 3Y</t>
  </si>
  <si>
    <t>Postgres storage</t>
  </si>
  <si>
    <t>USD/GB-month</t>
  </si>
  <si>
    <t>Postgres backup storage</t>
  </si>
  <si>
    <t>Blob hot LRS storage</t>
  </si>
  <si>
    <t>Blob write ops</t>
  </si>
  <si>
    <t>USD/10k ops</t>
  </si>
  <si>
    <t>Blob read ops</t>
  </si>
  <si>
    <t>Table LRS storage</t>
  </si>
  <si>
    <t>Table ops</t>
  </si>
  <si>
    <t>Bandwidth egress</t>
  </si>
  <si>
    <t>USD/GB</t>
  </si>
  <si>
    <t>Public IP hourly</t>
  </si>
  <si>
    <t>OS disk monthly</t>
  </si>
  <si>
    <t>USD/month</t>
  </si>
  <si>
    <t>Capacity knobs</t>
  </si>
  <si>
    <t>Kokoro real-time factor per VM</t>
  </si>
  <si>
    <t>x realtime</t>
  </si>
  <si>
    <t>Target VM utilization</t>
  </si>
  <si>
    <t>Web/API overhead fraction</t>
  </si>
  <si>
    <t>API submissions capacity per VM hour</t>
  </si>
  <si>
    <t>submissions/hour</t>
  </si>
  <si>
    <t>Pricing knobs</t>
  </si>
  <si>
    <t>Target gross margin (floor)</t>
  </si>
  <si>
    <t>Target gross margin (comfort)</t>
  </si>
  <si>
    <t>Team price multiplier vs Pro</t>
  </si>
  <si>
    <t>Pricing mode</t>
  </si>
  <si>
    <t>tier_counts</t>
  </si>
  <si>
    <t>(tier_counts/conversion_based)</t>
  </si>
  <si>
    <t>Conversion to Pro rate</t>
  </si>
  <si>
    <t>fraction of total active users</t>
  </si>
  <si>
    <t>Conversion to Team rate</t>
  </si>
  <si>
    <t>Metric</t>
  </si>
  <si>
    <t>Formula (per cohort)</t>
  </si>
  <si>
    <t>Total</t>
  </si>
  <si>
    <t>Submissions / month</t>
  </si>
  <si>
    <t>users * articles/day * days/month * multipliers</t>
  </si>
  <si>
    <t>Effective jobs / month</t>
  </si>
  <si>
    <t>submissions * (1+retry)</t>
  </si>
  <si>
    <t>Ready episodes / month</t>
  </si>
  <si>
    <t>effective jobs * success rate</t>
  </si>
  <si>
    <t>Audio minutes / month</t>
  </si>
  <si>
    <t>ready episodes * avg article minutes</t>
  </si>
  <si>
    <t>Audio GB / month</t>
  </si>
  <si>
    <t>audio minutes * mb/min / 1024</t>
  </si>
  <si>
    <t>Blob reads / month</t>
  </si>
  <si>
    <t>ready episodes * reads/episode</t>
  </si>
  <si>
    <t>Egress GB / month</t>
  </si>
  <si>
    <t>users * egress/user * multiplier</t>
  </si>
  <si>
    <t>DB growth GB / month</t>
  </si>
  <si>
    <t>effective jobs * KB/article / (1024*1024)</t>
  </si>
  <si>
    <t>Table ops / month</t>
  </si>
  <si>
    <t>effective jobs * ops/article</t>
  </si>
  <si>
    <t>Peak submissions / hour</t>
  </si>
  <si>
    <t>(users/1000) * peak_submissions_per_1000 * scenario usage multiplier</t>
  </si>
  <si>
    <t>TTS capacity minutes / VM / month</t>
  </si>
  <si>
    <t>hours * 60 * realtime_factor * utilization * (1-overhead)</t>
  </si>
  <si>
    <t/>
  </si>
  <si>
    <t>Required VMs (TTS)</t>
  </si>
  <si>
    <t>ceil(audio_minutes / tts_capacity_per_vm)</t>
  </si>
  <si>
    <t>Required VMs (API peak)</t>
  </si>
  <si>
    <t>ceil((peak_submissions_hour * headroom)/api_capacity_per_vm_hour)</t>
  </si>
  <si>
    <t>Required VMs (total)</t>
  </si>
  <si>
    <t>max(base_vm_count, vm_tts, vm_api)</t>
  </si>
  <si>
    <t>Category</t>
  </si>
  <si>
    <t>Price</t>
  </si>
  <si>
    <t>Snapshot generated</t>
  </si>
  <si>
    <t>VM</t>
  </si>
  <si>
    <t>VM RI 1Y</t>
  </si>
  <si>
    <t>VM RI 3Y</t>
  </si>
  <si>
    <t>Postgres</t>
  </si>
  <si>
    <t>vCore hourly PAYG</t>
  </si>
  <si>
    <t>vCore RI 1Y</t>
  </si>
  <si>
    <t>vCore RI 3Y</t>
  </si>
  <si>
    <t>Storage</t>
  </si>
  <si>
    <t>Backup</t>
  </si>
  <si>
    <t>Blob</t>
  </si>
  <si>
    <t>Hot LRS storage</t>
  </si>
  <si>
    <t>Write ops</t>
  </si>
  <si>
    <t>USD/10k</t>
  </si>
  <si>
    <t>Read ops</t>
  </si>
  <si>
    <t>LRS storage</t>
  </si>
  <si>
    <t>Ops</t>
  </si>
  <si>
    <t>Public IP</t>
  </si>
  <si>
    <t>OS disk</t>
  </si>
  <si>
    <t>Component</t>
  </si>
  <si>
    <t>Formula</t>
  </si>
  <si>
    <t>Monthly USD</t>
  </si>
  <si>
    <t>Annual USD</t>
  </si>
  <si>
    <t>% of monthly</t>
  </si>
  <si>
    <t>VM compute</t>
  </si>
  <si>
    <t>vm_hourly * hours * required_vm_count</t>
  </si>
  <si>
    <t>VM public IP</t>
  </si>
  <si>
    <t>public_ip_hourly * hours</t>
  </si>
  <si>
    <t>VM OS disk</t>
  </si>
  <si>
    <t>os_disk_month</t>
  </si>
  <si>
    <t>Postgres compute</t>
  </si>
  <si>
    <t>pg_vcore_3yr_reserved * vcores / 36</t>
  </si>
  <si>
    <t>pg_storage_rate * configured_pg_gb</t>
  </si>
  <si>
    <t>Postgres backup</t>
  </si>
  <si>
    <t>pg_backup_rate * configured_pg_gb * backup_multiplier</t>
  </si>
  <si>
    <t>Blob storage</t>
  </si>
  <si>
    <t>blob_rate * MAX(blob_floor_gb, audio_gb*retention_mult)</t>
  </si>
  <si>
    <t>write_rate * episodes/10k</t>
  </si>
  <si>
    <t>read_rate * blob_reads/10k</t>
  </si>
  <si>
    <t>Table storage</t>
  </si>
  <si>
    <t>table_rate * MAX(table_min_gb, db_growth*table_mult)</t>
  </si>
  <si>
    <t>table_ops_rate * table_ops/10k</t>
  </si>
  <si>
    <t>Network egress</t>
  </si>
  <si>
    <t>egress_rate * egress_gb</t>
  </si>
  <si>
    <t>sum</t>
  </si>
  <si>
    <t>100%</t>
  </si>
  <si>
    <t>Strategy</t>
  </si>
  <si>
    <t>Savings vs PAYG (USD/mo)</t>
  </si>
  <si>
    <t>Savings %</t>
  </si>
  <si>
    <t>PAYG baseline</t>
  </si>
  <si>
    <t>VM only - 1Y RI</t>
  </si>
  <si>
    <t>VM only - 3Y RI</t>
  </si>
  <si>
    <t>Postgres only - 1Y RI</t>
  </si>
  <si>
    <t>Postgres only - 3Y RI</t>
  </si>
  <si>
    <t>VM + Postgres - 1Y RI</t>
  </si>
  <si>
    <t>VM + Postgres - 3Y RI</t>
  </si>
  <si>
    <t>Formula / notes</t>
  </si>
  <si>
    <t>Modeled monthly cost (selected scenario)</t>
  </si>
  <si>
    <t>from Cost_Breakdown</t>
  </si>
  <si>
    <t>Required monthly revenue for 90% margin</t>
  </si>
  <si>
    <t>revenue = cost/(1-margin)</t>
  </si>
  <si>
    <t>Required monthly revenue for 95% margin</t>
  </si>
  <si>
    <t>Scenario-adjusted Pro users</t>
  </si>
  <si>
    <t>Pro active users in selected scenario</t>
  </si>
  <si>
    <t>Scenario-adjusted Team users</t>
  </si>
  <si>
    <t>Team active users in selected scenario</t>
  </si>
  <si>
    <t>Total active users (all cohorts)</t>
  </si>
  <si>
    <t>used by conversion mode</t>
  </si>
  <si>
    <t>Conversion-mode Pro users</t>
  </si>
  <si>
    <t>from conversion rate</t>
  </si>
  <si>
    <t>Conversion-mode Team users</t>
  </si>
  <si>
    <t>Tier-count mode paying users (Pro+Team)</t>
  </si>
  <si>
    <t>free tier excluded</t>
  </si>
  <si>
    <t>Active pricing mode</t>
  </si>
  <si>
    <t>tier_counts or conversion_based</t>
  </si>
  <si>
    <t>Selected Pro users</t>
  </si>
  <si>
    <t>users used for pricing solve</t>
  </si>
  <si>
    <t>Selected Team users</t>
  </si>
  <si>
    <t>Total paying users (selected mode)</t>
  </si>
  <si>
    <t>for blended ARPU</t>
  </si>
  <si>
    <t>editable in Inputs</t>
  </si>
  <si>
    <t>Price denominator (Pro + Team*multiplier)</t>
  </si>
  <si>
    <t>for solving two-tier pricing</t>
  </si>
  <si>
    <t>Recommended Pro price @90% margin</t>
  </si>
  <si>
    <t>monthly price per Pro user</t>
  </si>
  <si>
    <t>Recommended Team price @90% margin</t>
  </si>
  <si>
    <t>monthly price per Team user</t>
  </si>
  <si>
    <t>Blended ARPU needed @90% margin</t>
  </si>
  <si>
    <t>monthly revenue / paying user</t>
  </si>
  <si>
    <t>Recommended Pro price @95% margin</t>
  </si>
  <si>
    <t>Recommended Team price @95% margin</t>
  </si>
  <si>
    <t>Blended ARPU needed @95% margin</t>
  </si>
  <si>
    <t>Margin check @95 pricing</t>
  </si>
  <si>
    <t>should approximate target margin</t>
  </si>
  <si>
    <t>Case</t>
  </si>
  <si>
    <t>Load multiplier</t>
  </si>
  <si>
    <t>Delta vs base</t>
  </si>
  <si>
    <t>Low (-25%)</t>
  </si>
  <si>
    <t>High (+25%)</t>
  </si>
  <si>
    <t>Stress (+50%)</t>
  </si>
  <si>
    <t>Notes</t>
  </si>
  <si>
    <t>Selected scenario</t>
  </si>
  <si>
    <t>Low/Base/High toggle on Inputs tab</t>
  </si>
  <si>
    <t>Monthly total cost</t>
  </si>
  <si>
    <t>Annual total cost</t>
  </si>
  <si>
    <t>USD/year</t>
  </si>
  <si>
    <t>Estimated required VM count</t>
  </si>
  <si>
    <t>Computed from TTS + API peak</t>
  </si>
  <si>
    <t>Required VMs for TTS only</t>
  </si>
  <si>
    <t>Capacity from Kokoro realtime factor</t>
  </si>
  <si>
    <t>Required VMs for API peak only</t>
  </si>
  <si>
    <t>Headroom-adjusted request peak</t>
  </si>
  <si>
    <t>Best commitment monthly</t>
  </si>
  <si>
    <t>Lowest modeled monthly cost</t>
  </si>
  <si>
    <t>Required revenue @90% margin</t>
  </si>
  <si>
    <t>monthly</t>
  </si>
  <si>
    <t>Required revenue @95% margin</t>
  </si>
  <si>
    <t>Recommended Pro price @95%</t>
  </si>
  <si>
    <t>Recommended Team price @95%</t>
  </si>
  <si>
    <t>Best commitment strategy</t>
  </si>
  <si>
    <t>From Commitment_Compare table</t>
  </si>
  <si>
    <t>Top cost driver</t>
  </si>
  <si>
    <t>VM + Postgres compute</t>
  </si>
  <si>
    <t>Review Cost_Breakdown % column</t>
  </si>
  <si>
    <t>Architecture baseline</t>
  </si>
  <si>
    <t>Standard_D4as_v5, General Purpose Ddsv4 (2 vCore equivalent), Blob Hot LRS</t>
  </si>
  <si>
    <t>from infra/main.bicep</t>
  </si>
  <si>
    <t>Pricing snapshot timestamp</t>
  </si>
  <si>
    <t>Azure Retail Prices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</si>
</sst>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6" width="14" customWidth="1"/>
  </cols>
  <sheetData>
    <row r="1" spans="1:6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4" x14ac:dyDescent="0.25">
      <c r="A2" t="s">
        <v>22</v>
      </c>
      <c r="B2" t="s">
        <v>23</v>
      </c>
      <c r="C2" s="2" t="s">
        <v>24</v>
      </c>
      <c r="D2" t="s">
        <v>25</v>
      </c>
    </row>
    <row r="3" spans="1:4" x14ac:dyDescent="0.25">
      <c r="A3" t="s">
        <v>26</v>
      </c>
      <c r="B3" t="s">
        <v>27</v>
      </c>
      <c r="C3" s="2">
        <v>30.4</v>
      </c>
      <c r="D3" t="s">
        <v>28</v>
      </c>
    </row>
    <row r="4" spans="1:4" x14ac:dyDescent="0.25">
      <c r="A4" t="s">
        <v>26</v>
      </c>
      <c r="B4" t="s">
        <v>29</v>
      </c>
      <c r="C4" s="2">
        <v>730</v>
      </c>
      <c r="D4" t="s">
        <v>30</v>
      </c>
    </row>
    <row r="5" spans="1:4" x14ac:dyDescent="0.25">
      <c r="A5" t="s">
        <v>26</v>
      </c>
      <c r="B5" t="s">
        <v>31</v>
      </c>
      <c r="C5" s="2">
        <v>1.3</v>
      </c>
      <c r="D5" t="s">
        <v>32</v>
      </c>
    </row>
    <row r="6" spans="1:4" x14ac:dyDescent="0.25">
      <c r="A6" t="s">
        <v>26</v>
      </c>
      <c r="B6" t="s">
        <v>33</v>
      </c>
      <c r="C6" s="2">
        <v>1</v>
      </c>
      <c r="D6" t="s">
        <v>34</v>
      </c>
    </row>
    <row r="7" spans="1:4" x14ac:dyDescent="0.25">
      <c r="A7" t="s">
        <v>26</v>
      </c>
      <c r="B7" t="s">
        <v>35</v>
      </c>
      <c r="C7" s="2">
        <v>0.97</v>
      </c>
      <c r="D7" t="s">
        <v>36</v>
      </c>
    </row>
    <row r="8" spans="1:4" x14ac:dyDescent="0.25">
      <c r="A8" t="s">
        <v>26</v>
      </c>
      <c r="B8" t="s">
        <v>37</v>
      </c>
      <c r="C8" s="2">
        <v>0.08</v>
      </c>
      <c r="D8" t="s">
        <v>36</v>
      </c>
    </row>
    <row r="9" spans="1:4" x14ac:dyDescent="0.25">
      <c r="A9" t="s">
        <v>26</v>
      </c>
      <c r="B9" t="s">
        <v>38</v>
      </c>
      <c r="C9" s="2">
        <v>1.2</v>
      </c>
      <c r="D9" t="s">
        <v>32</v>
      </c>
    </row>
    <row r="11" spans="1:4" x14ac:dyDescent="0.25">
      <c r="A11" s="1" t="s">
        <v>39</v>
      </c>
      <c r="B11" s="1" t="s">
        <v>40</v>
      </c>
      <c r="C11" s="1" t="s">
        <v>18</v>
      </c>
      <c r="D11" s="1" t="s">
        <v>19</v>
      </c>
    </row>
    <row r="12" spans="1:4" x14ac:dyDescent="0.25">
      <c r="A12" t="s">
        <v>39</v>
      </c>
      <c r="B12" t="s">
        <v>41</v>
      </c>
      <c r="C12" s="2">
        <v>2</v>
      </c>
      <c r="D12" t="s">
        <v>34</v>
      </c>
    </row>
    <row r="13" spans="1:4" x14ac:dyDescent="0.25">
      <c r="A13" t="s">
        <v>39</v>
      </c>
      <c r="B13" t="s">
        <v>42</v>
      </c>
      <c r="C13" s="2">
        <v>128</v>
      </c>
      <c r="D13" t="s">
        <v>43</v>
      </c>
    </row>
    <row r="14" spans="1:4" x14ac:dyDescent="0.25">
      <c r="A14" t="s">
        <v>39</v>
      </c>
      <c r="B14" t="s">
        <v>44</v>
      </c>
      <c r="C14" s="2">
        <v>128</v>
      </c>
      <c r="D14" t="s">
        <v>43</v>
      </c>
    </row>
    <row r="15" spans="1:4" x14ac:dyDescent="0.25">
      <c r="A15" t="s">
        <v>39</v>
      </c>
      <c r="B15" t="s">
        <v>45</v>
      </c>
      <c r="C15" s="2">
        <v>3</v>
      </c>
      <c r="D15" t="s">
        <v>32</v>
      </c>
    </row>
    <row r="16" spans="1:4" x14ac:dyDescent="0.25">
      <c r="A16" t="s">
        <v>39</v>
      </c>
      <c r="B16" t="s">
        <v>46</v>
      </c>
      <c r="C16" s="2">
        <v>5</v>
      </c>
      <c r="D16" t="s">
        <v>43</v>
      </c>
    </row>
    <row r="17" spans="1:4" x14ac:dyDescent="0.25">
      <c r="A17" t="s">
        <v>39</v>
      </c>
      <c r="B17" t="s">
        <v>47</v>
      </c>
      <c r="C17" s="2">
        <v>2</v>
      </c>
      <c r="D17" t="s">
        <v>32</v>
      </c>
    </row>
    <row r="19" spans="1:6" x14ac:dyDescent="0.25">
      <c r="A19" s="1" t="s">
        <v>48</v>
      </c>
      <c r="B19" s="1" t="s">
        <v>40</v>
      </c>
      <c r="C19" s="1" t="s">
        <v>49</v>
      </c>
      <c r="D19" s="1" t="s">
        <v>50</v>
      </c>
      <c r="E19" s="1" t="s">
        <v>51</v>
      </c>
      <c r="F19" s="1" t="s">
        <v>19</v>
      </c>
    </row>
    <row r="20" spans="1:6" x14ac:dyDescent="0.25">
      <c r="A20" t="s">
        <v>52</v>
      </c>
      <c r="B20" t="s">
        <v>53</v>
      </c>
      <c r="C20" s="2">
        <v>2000</v>
      </c>
      <c r="D20" s="2">
        <v>500</v>
      </c>
      <c r="E20" s="2">
        <v>80</v>
      </c>
      <c r="F20" t="s">
        <v>34</v>
      </c>
    </row>
    <row r="21" spans="1:6" x14ac:dyDescent="0.25">
      <c r="A21" t="s">
        <v>54</v>
      </c>
      <c r="B21" t="s">
        <v>55</v>
      </c>
      <c r="C21" s="2">
        <v>0.4</v>
      </c>
      <c r="D21" s="2">
        <v>1.2</v>
      </c>
      <c r="E21" s="2">
        <v>4</v>
      </c>
      <c r="F21" t="s">
        <v>56</v>
      </c>
    </row>
    <row r="22" spans="1:6" x14ac:dyDescent="0.25">
      <c r="A22" t="s">
        <v>54</v>
      </c>
      <c r="B22" t="s">
        <v>57</v>
      </c>
      <c r="C22" s="2">
        <v>35</v>
      </c>
      <c r="D22" s="2">
        <v>55</v>
      </c>
      <c r="E22" s="2">
        <v>95</v>
      </c>
      <c r="F22" t="s">
        <v>58</v>
      </c>
    </row>
    <row r="23" spans="1:6" x14ac:dyDescent="0.25">
      <c r="A23" t="s">
        <v>59</v>
      </c>
      <c r="B23" t="s">
        <v>60</v>
      </c>
      <c r="C23" s="2">
        <v>6</v>
      </c>
      <c r="D23" s="2">
        <v>10</v>
      </c>
      <c r="E23" s="2">
        <v>14</v>
      </c>
      <c r="F23" t="s">
        <v>61</v>
      </c>
    </row>
    <row r="24" spans="1:6" x14ac:dyDescent="0.25">
      <c r="A24" t="s">
        <v>59</v>
      </c>
      <c r="B24" t="s">
        <v>62</v>
      </c>
      <c r="C24" s="2">
        <v>900</v>
      </c>
      <c r="D24" s="2">
        <v>1700</v>
      </c>
      <c r="E24" s="2">
        <v>2500</v>
      </c>
      <c r="F24" t="s">
        <v>63</v>
      </c>
    </row>
    <row r="25" spans="1:6" x14ac:dyDescent="0.25">
      <c r="A25" t="s">
        <v>64</v>
      </c>
      <c r="B25" t="s">
        <v>65</v>
      </c>
      <c r="C25" s="2">
        <v>0.7</v>
      </c>
      <c r="D25" s="2">
        <v>0.7</v>
      </c>
      <c r="E25" s="2">
        <v>0.6</v>
      </c>
      <c r="F25" t="s">
        <v>36</v>
      </c>
    </row>
    <row r="26" spans="1:6" x14ac:dyDescent="0.25">
      <c r="A26" t="s">
        <v>64</v>
      </c>
      <c r="B26" t="s">
        <v>66</v>
      </c>
      <c r="C26" s="2">
        <v>0.2</v>
      </c>
      <c r="D26" s="2">
        <v>0.2</v>
      </c>
      <c r="E26" s="2">
        <v>0.25</v>
      </c>
      <c r="F26" t="s">
        <v>36</v>
      </c>
    </row>
    <row r="27" spans="1:6" x14ac:dyDescent="0.25">
      <c r="A27" t="s">
        <v>64</v>
      </c>
      <c r="B27" t="s">
        <v>67</v>
      </c>
      <c r="C27" s="2">
        <v>0.1</v>
      </c>
      <c r="D27" s="2">
        <v>0.1</v>
      </c>
      <c r="E27" s="2">
        <v>0.15</v>
      </c>
      <c r="F27" t="s">
        <v>36</v>
      </c>
    </row>
    <row r="28" spans="1:6" x14ac:dyDescent="0.25">
      <c r="A28" t="s">
        <v>68</v>
      </c>
      <c r="B28" t="s">
        <v>69</v>
      </c>
      <c r="C28" s="2">
        <v>0.45</v>
      </c>
      <c r="D28" s="2">
        <v>0.45</v>
      </c>
      <c r="E28" s="2">
        <v>0.45</v>
      </c>
      <c r="F28" t="s">
        <v>70</v>
      </c>
    </row>
    <row r="29" spans="1:6" x14ac:dyDescent="0.25">
      <c r="A29" t="s">
        <v>68</v>
      </c>
      <c r="B29" t="s">
        <v>71</v>
      </c>
      <c r="C29" s="2">
        <v>2.2</v>
      </c>
      <c r="D29" s="2">
        <v>2.8</v>
      </c>
      <c r="E29" s="2">
        <v>4.5</v>
      </c>
      <c r="F29" t="s">
        <v>34</v>
      </c>
    </row>
    <row r="30" spans="1:6" x14ac:dyDescent="0.25">
      <c r="A30" t="s">
        <v>72</v>
      </c>
      <c r="B30" t="s">
        <v>73</v>
      </c>
      <c r="C30" s="2">
        <v>0.18</v>
      </c>
      <c r="D30" s="2">
        <v>0.55</v>
      </c>
      <c r="E30" s="2">
        <v>1.8</v>
      </c>
      <c r="F30" t="s">
        <v>74</v>
      </c>
    </row>
    <row r="31" spans="1:6" x14ac:dyDescent="0.25">
      <c r="A31" t="s">
        <v>75</v>
      </c>
      <c r="B31" t="s">
        <v>76</v>
      </c>
      <c r="C31" s="2">
        <v>14</v>
      </c>
      <c r="D31" s="2">
        <v>18</v>
      </c>
      <c r="E31" s="2">
        <v>26</v>
      </c>
      <c r="F31" t="s">
        <v>77</v>
      </c>
    </row>
    <row r="32" spans="1:6" x14ac:dyDescent="0.25">
      <c r="A32" t="s">
        <v>75</v>
      </c>
      <c r="B32" t="s">
        <v>78</v>
      </c>
      <c r="C32" s="2">
        <v>12</v>
      </c>
      <c r="D32" s="2">
        <v>16</v>
      </c>
      <c r="E32" s="2">
        <v>24</v>
      </c>
      <c r="F32" t="s">
        <v>79</v>
      </c>
    </row>
    <row r="33" spans="1:6" x14ac:dyDescent="0.25">
      <c r="A33" t="s">
        <v>80</v>
      </c>
      <c r="B33" t="s">
        <v>81</v>
      </c>
      <c r="C33" s="2">
        <v>18</v>
      </c>
      <c r="D33" s="2">
        <v>28</v>
      </c>
      <c r="E33" s="2">
        <v>42</v>
      </c>
      <c r="F33" t="s">
        <v>82</v>
      </c>
    </row>
    <row r="35" spans="1:5" x14ac:dyDescent="0.25">
      <c r="A35" s="1" t="s">
        <v>83</v>
      </c>
      <c r="B35" s="1" t="s">
        <v>22</v>
      </c>
      <c r="C35" s="1" t="s">
        <v>84</v>
      </c>
      <c r="D35" s="1" t="s">
        <v>85</v>
      </c>
      <c r="E35" s="1" t="s">
        <v>86</v>
      </c>
    </row>
    <row r="36" spans="1:5" x14ac:dyDescent="0.25">
      <c r="A36" t="s">
        <v>83</v>
      </c>
      <c r="B36" t="s">
        <v>20</v>
      </c>
      <c r="C36" s="2">
        <v>0.7</v>
      </c>
      <c r="D36" s="2">
        <v>0.75</v>
      </c>
      <c r="E36" s="2">
        <v>0.8</v>
      </c>
    </row>
    <row r="37" spans="1:5" x14ac:dyDescent="0.25">
      <c r="A37" t="s">
        <v>83</v>
      </c>
      <c r="B37" t="s">
        <v>24</v>
      </c>
      <c r="C37" s="2">
        <v>1</v>
      </c>
      <c r="D37" s="2">
        <v>1</v>
      </c>
      <c r="E37" s="2">
        <v>1</v>
      </c>
    </row>
    <row r="38" spans="1:5" x14ac:dyDescent="0.25">
      <c r="A38" t="s">
        <v>83</v>
      </c>
      <c r="B38" t="s">
        <v>21</v>
      </c>
      <c r="C38" s="2">
        <v>1.6</v>
      </c>
      <c r="D38" s="2">
        <v>1.4</v>
      </c>
      <c r="E38" s="2">
        <v>1.5</v>
      </c>
    </row>
    <row r="40" spans="1:4" x14ac:dyDescent="0.25">
      <c r="A40" s="1" t="s">
        <v>87</v>
      </c>
      <c r="B40" s="1" t="s">
        <v>88</v>
      </c>
      <c r="C40" s="1" t="s">
        <v>18</v>
      </c>
      <c r="D40" s="1" t="s">
        <v>19</v>
      </c>
    </row>
    <row r="41" spans="1:4" x14ac:dyDescent="0.25">
      <c r="A41" t="s">
        <v>87</v>
      </c>
      <c r="B41" t="s">
        <v>89</v>
      </c>
      <c r="C41" s="3">
        <v>0.172</v>
      </c>
      <c r="D41" t="s">
        <v>90</v>
      </c>
    </row>
    <row r="42" spans="1:4" x14ac:dyDescent="0.25">
      <c r="A42" t="s">
        <v>87</v>
      </c>
      <c r="B42" t="s">
        <v>91</v>
      </c>
      <c r="C42" s="3">
        <v>889</v>
      </c>
      <c r="D42" t="s">
        <v>92</v>
      </c>
    </row>
    <row r="43" spans="1:4" x14ac:dyDescent="0.25">
      <c r="A43" t="s">
        <v>87</v>
      </c>
      <c r="B43" t="s">
        <v>93</v>
      </c>
      <c r="C43" s="3">
        <v>1718</v>
      </c>
      <c r="D43" t="s">
        <v>92</v>
      </c>
    </row>
    <row r="44" spans="1:4" x14ac:dyDescent="0.25">
      <c r="A44" t="s">
        <v>87</v>
      </c>
      <c r="B44" t="s">
        <v>94</v>
      </c>
      <c r="C44" s="3">
        <v>0.089</v>
      </c>
      <c r="D44" t="s">
        <v>90</v>
      </c>
    </row>
    <row r="45" spans="1:4" x14ac:dyDescent="0.25">
      <c r="A45" t="s">
        <v>87</v>
      </c>
      <c r="B45" t="s">
        <v>95</v>
      </c>
      <c r="C45" s="3">
        <v>468</v>
      </c>
      <c r="D45" t="s">
        <v>92</v>
      </c>
    </row>
    <row r="46" spans="1:4" x14ac:dyDescent="0.25">
      <c r="A46" t="s">
        <v>87</v>
      </c>
      <c r="B46" t="s">
        <v>96</v>
      </c>
      <c r="C46" s="3">
        <v>936</v>
      </c>
      <c r="D46" t="s">
        <v>92</v>
      </c>
    </row>
    <row r="47" spans="1:4" x14ac:dyDescent="0.25">
      <c r="A47" t="s">
        <v>87</v>
      </c>
      <c r="B47" t="s">
        <v>97</v>
      </c>
      <c r="C47" s="3">
        <v>0.115</v>
      </c>
      <c r="D47" t="s">
        <v>98</v>
      </c>
    </row>
    <row r="48" spans="1:4" x14ac:dyDescent="0.25">
      <c r="A48" t="s">
        <v>87</v>
      </c>
      <c r="B48" t="s">
        <v>99</v>
      </c>
      <c r="C48" s="3">
        <v>0.095</v>
      </c>
      <c r="D48" t="s">
        <v>98</v>
      </c>
    </row>
    <row r="49" spans="1:4" x14ac:dyDescent="0.25">
      <c r="A49" t="s">
        <v>87</v>
      </c>
      <c r="B49" t="s">
        <v>100</v>
      </c>
      <c r="C49" s="3">
        <v>0.0208</v>
      </c>
      <c r="D49" t="s">
        <v>98</v>
      </c>
    </row>
    <row r="50" spans="1:4" x14ac:dyDescent="0.25">
      <c r="A50" t="s">
        <v>87</v>
      </c>
      <c r="B50" t="s">
        <v>101</v>
      </c>
      <c r="C50" s="3">
        <v>0.05</v>
      </c>
      <c r="D50" t="s">
        <v>102</v>
      </c>
    </row>
    <row r="51" spans="1:4" x14ac:dyDescent="0.25">
      <c r="A51" t="s">
        <v>87</v>
      </c>
      <c r="B51" t="s">
        <v>103</v>
      </c>
      <c r="C51" s="3">
        <v>0.004</v>
      </c>
      <c r="D51" t="s">
        <v>102</v>
      </c>
    </row>
    <row r="52" spans="1:4" x14ac:dyDescent="0.25">
      <c r="A52" t="s">
        <v>87</v>
      </c>
      <c r="B52" t="s">
        <v>104</v>
      </c>
      <c r="C52" s="3">
        <v>0.045</v>
      </c>
      <c r="D52" t="s">
        <v>98</v>
      </c>
    </row>
    <row r="53" spans="1:4" x14ac:dyDescent="0.25">
      <c r="A53" t="s">
        <v>87</v>
      </c>
      <c r="B53" t="s">
        <v>105</v>
      </c>
      <c r="C53" s="3">
        <v>0.00036</v>
      </c>
      <c r="D53" t="s">
        <v>102</v>
      </c>
    </row>
    <row r="54" spans="1:4" x14ac:dyDescent="0.25">
      <c r="A54" t="s">
        <v>87</v>
      </c>
      <c r="B54" t="s">
        <v>106</v>
      </c>
      <c r="C54" s="3">
        <v>0.04</v>
      </c>
      <c r="D54" t="s">
        <v>107</v>
      </c>
    </row>
    <row r="55" spans="1:4" x14ac:dyDescent="0.25">
      <c r="A55" t="s">
        <v>87</v>
      </c>
      <c r="B55" t="s">
        <v>108</v>
      </c>
      <c r="C55" s="3">
        <v>0.005</v>
      </c>
      <c r="D55" t="s">
        <v>90</v>
      </c>
    </row>
    <row r="56" spans="1:4" x14ac:dyDescent="0.25">
      <c r="A56" t="s">
        <v>87</v>
      </c>
      <c r="B56" t="s">
        <v>109</v>
      </c>
      <c r="C56" s="3">
        <v>5.2795</v>
      </c>
      <c r="D56" t="s">
        <v>110</v>
      </c>
    </row>
    <row r="58" spans="1:4" x14ac:dyDescent="0.25">
      <c r="A58" s="1" t="s">
        <v>111</v>
      </c>
      <c r="B58" s="1" t="s">
        <v>40</v>
      </c>
      <c r="C58" s="1" t="s">
        <v>18</v>
      </c>
      <c r="D58" s="1" t="s">
        <v>19</v>
      </c>
    </row>
    <row r="59" spans="1:4" x14ac:dyDescent="0.25">
      <c r="A59" t="s">
        <v>111</v>
      </c>
      <c r="B59" t="s">
        <v>112</v>
      </c>
      <c r="C59" s="2">
        <v>2.4</v>
      </c>
      <c r="D59" t="s">
        <v>113</v>
      </c>
    </row>
    <row r="60" spans="1:4" x14ac:dyDescent="0.25">
      <c r="A60" t="s">
        <v>111</v>
      </c>
      <c r="B60" t="s">
        <v>114</v>
      </c>
      <c r="C60" s="2">
        <v>0.75</v>
      </c>
      <c r="D60" t="s">
        <v>36</v>
      </c>
    </row>
    <row r="61" spans="1:4" x14ac:dyDescent="0.25">
      <c r="A61" t="s">
        <v>111</v>
      </c>
      <c r="B61" t="s">
        <v>115</v>
      </c>
      <c r="C61" s="2">
        <v>0.2</v>
      </c>
      <c r="D61" t="s">
        <v>36</v>
      </c>
    </row>
    <row r="62" spans="1:4" x14ac:dyDescent="0.25">
      <c r="A62" t="s">
        <v>111</v>
      </c>
      <c r="B62" t="s">
        <v>116</v>
      </c>
      <c r="C62" s="2">
        <v>120</v>
      </c>
      <c r="D62" t="s">
        <v>117</v>
      </c>
    </row>
    <row r="64" spans="1:4" x14ac:dyDescent="0.25">
      <c r="A64" s="1" t="s">
        <v>118</v>
      </c>
      <c r="B64" s="1" t="s">
        <v>40</v>
      </c>
      <c r="C64" s="1" t="s">
        <v>18</v>
      </c>
      <c r="D64" s="1" t="s">
        <v>19</v>
      </c>
    </row>
    <row r="65" spans="1:4" x14ac:dyDescent="0.25">
      <c r="A65" t="s">
        <v>118</v>
      </c>
      <c r="B65" t="s">
        <v>119</v>
      </c>
      <c r="C65" s="2">
        <v>0.9</v>
      </c>
      <c r="D65" t="s">
        <v>36</v>
      </c>
    </row>
    <row r="66" spans="1:4" x14ac:dyDescent="0.25">
      <c r="A66" t="s">
        <v>118</v>
      </c>
      <c r="B66" t="s">
        <v>120</v>
      </c>
      <c r="C66" s="2">
        <v>0.95</v>
      </c>
      <c r="D66" t="s">
        <v>36</v>
      </c>
    </row>
    <row r="67" spans="1:4" x14ac:dyDescent="0.25">
      <c r="A67" t="s">
        <v>118</v>
      </c>
      <c r="B67" t="s">
        <v>121</v>
      </c>
      <c r="C67" s="2">
        <v>4</v>
      </c>
      <c r="D67" t="s">
        <v>32</v>
      </c>
    </row>
    <row r="68" spans="1:4" x14ac:dyDescent="0.25">
      <c r="A68" t="s">
        <v>118</v>
      </c>
      <c r="B68" t="s">
        <v>122</v>
      </c>
      <c r="C68" s="2" t="s">
        <v>123</v>
      </c>
      <c r="D68" t="s">
        <v>124</v>
      </c>
    </row>
    <row r="69" spans="1:4" x14ac:dyDescent="0.25">
      <c r="A69" t="s">
        <v>118</v>
      </c>
      <c r="B69" t="s">
        <v>125</v>
      </c>
      <c r="C69" s="2">
        <v>0.08</v>
      </c>
      <c r="D69" t="s">
        <v>126</v>
      </c>
    </row>
    <row r="70" spans="1:4" x14ac:dyDescent="0.25">
      <c r="A70" t="s">
        <v>118</v>
      </c>
      <c r="B70" t="s">
        <v>127</v>
      </c>
      <c r="C70" s="2">
        <v>0.015</v>
      </c>
      <c r="D70" t="s">
        <v>126</v>
      </c>
    </row>
  </sheetData>
  <dataValidations count="2">
    <dataValidation type="list" sqref="C2">
      <formula1>"Low,Base,High"</formula1>
    </dataValidation>
    <dataValidation type="list" sqref="C68">
      <formula1>"tier_counts,conversion_based"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5" width="20" customWidth="1"/>
    <col min="6" max="6" width="16" customWidth="1"/>
  </cols>
  <sheetData>
    <row r="1" spans="1:6" x14ac:dyDescent="0.25">
      <c r="A1" s="1" t="s">
        <v>128</v>
      </c>
      <c r="B1" s="1" t="s">
        <v>129</v>
      </c>
      <c r="C1" s="1" t="s">
        <v>49</v>
      </c>
      <c r="D1" s="1" t="s">
        <v>50</v>
      </c>
      <c r="E1" s="1" t="s">
        <v>51</v>
      </c>
      <c r="F1" s="1" t="s">
        <v>130</v>
      </c>
    </row>
    <row r="2" spans="1:6" x14ac:dyDescent="0.25">
      <c r="A2" t="s">
        <v>131</v>
      </c>
      <c r="B2" t="s">
        <v>132</v>
      </c>
      <c r="C2" s="3">
        <f>Inputs!C12*IF(Inputs!C2="Low",Inputs!C36,IF(Inputs!C2="High",Inputs!C38,Inputs!C37))*Inputs!C13*IF(Inputs!C2="Low",Inputs!D36,IF(Inputs!C2="High",Inputs!D38,Inputs!D37))*Inputs!C3</f>
      </c>
      <c r="D2" s="3">
        <f>Inputs!D12*IF(Inputs!C2="Low",Inputs!C36,IF(Inputs!C2="High",Inputs!C38,Inputs!C37))*Inputs!D13*IF(Inputs!C2="Low",Inputs!D36,IF(Inputs!C2="High",Inputs!D38,Inputs!D37))*Inputs!C3</f>
      </c>
      <c r="E2" s="3">
        <f>Inputs!E12*IF(Inputs!C2="Low",Inputs!C36,IF(Inputs!C2="High",Inputs!C38,Inputs!C37))*Inputs!E13*IF(Inputs!C2="Low",Inputs!D36,IF(Inputs!C2="High",Inputs!D38,Inputs!D37))*Inputs!C3</f>
      </c>
      <c r="F2" s="3">
        <f>SUM(C2:E2)</f>
      </c>
    </row>
    <row r="3" spans="1:6" x14ac:dyDescent="0.25">
      <c r="A3" t="s">
        <v>133</v>
      </c>
      <c r="B3" t="s">
        <v>134</v>
      </c>
      <c r="C3" s="3">
        <f>C2*(1+Inputs!C8)</f>
      </c>
      <c r="D3" s="3">
        <f>D2*(1+Inputs!C8)</f>
      </c>
      <c r="E3" s="3">
        <f>E2*(1+Inputs!C8)</f>
      </c>
      <c r="F3" s="3">
        <f>SUM(C3:E3)</f>
      </c>
    </row>
    <row r="4" spans="1:6" x14ac:dyDescent="0.25">
      <c r="A4" t="s">
        <v>135</v>
      </c>
      <c r="B4" t="s">
        <v>136</v>
      </c>
      <c r="C4" s="3">
        <f>C3*Inputs!C7</f>
      </c>
      <c r="D4" s="3">
        <f>D3*Inputs!C7</f>
      </c>
      <c r="E4" s="3">
        <f>E3*Inputs!C7</f>
      </c>
      <c r="F4" s="3">
        <f>SUM(C4:E4)</f>
      </c>
    </row>
    <row r="5" spans="1:6" x14ac:dyDescent="0.25">
      <c r="A5" t="s">
        <v>137</v>
      </c>
      <c r="B5" t="s">
        <v>138</v>
      </c>
      <c r="C5" s="3">
        <f>C4*Inputs!C15*IF(Inputs!C2="Low",Inputs!D36,IF(Inputs!C2="High",Inputs!D38,Inputs!D37))</f>
      </c>
      <c r="D5" s="3">
        <f>D4*Inputs!D15*IF(Inputs!C2="Low",Inputs!D36,IF(Inputs!C2="High",Inputs!D38,Inputs!D37))</f>
      </c>
      <c r="E5" s="3">
        <f>E4*Inputs!E15*IF(Inputs!C2="Low",Inputs!D36,IF(Inputs!C2="High",Inputs!D38,Inputs!D37))</f>
      </c>
      <c r="F5" s="3">
        <f>SUM(C5:E5)</f>
      </c>
    </row>
    <row r="6" spans="1:6" x14ac:dyDescent="0.25">
      <c r="A6" t="s">
        <v>139</v>
      </c>
      <c r="B6" t="s">
        <v>140</v>
      </c>
      <c r="C6" s="3">
        <f>(C5*Inputs!C20)/1024</f>
      </c>
      <c r="D6" s="3">
        <f>(D5*Inputs!D20)/1024</f>
      </c>
      <c r="E6" s="3">
        <f>(E5*Inputs!E20)/1024</f>
      </c>
      <c r="F6" s="3">
        <f>SUM(C6:E6)</f>
      </c>
    </row>
    <row r="7" spans="1:6" x14ac:dyDescent="0.25">
      <c r="A7" t="s">
        <v>141</v>
      </c>
      <c r="B7" t="s">
        <v>142</v>
      </c>
      <c r="C7" s="3">
        <f>C4*Inputs!C21</f>
      </c>
      <c r="D7" s="3">
        <f>D4*Inputs!D21</f>
      </c>
      <c r="E7" s="3">
        <f>E4*Inputs!E21</f>
      </c>
      <c r="F7" s="3">
        <f>SUM(C7:E7)</f>
      </c>
    </row>
    <row r="8" spans="1:6" x14ac:dyDescent="0.25">
      <c r="A8" t="s">
        <v>143</v>
      </c>
      <c r="B8" t="s">
        <v>144</v>
      </c>
      <c r="C8" s="3">
        <f>Inputs!C12*IF(Inputs!C2="Low",Inputs!C36,IF(Inputs!C2="High",Inputs!C38,Inputs!C37))*Inputs!C22*IF(Inputs!C2="Low",Inputs!E36,IF(Inputs!C2="High",Inputs!E38,Inputs!E37))</f>
      </c>
      <c r="D8" s="3">
        <f>Inputs!D12*IF(Inputs!C2="Low",Inputs!C36,IF(Inputs!C2="High",Inputs!C38,Inputs!C37))*Inputs!D22*IF(Inputs!C2="Low",Inputs!E36,IF(Inputs!C2="High",Inputs!E38,Inputs!E37))</f>
      </c>
      <c r="E8" s="3">
        <f>Inputs!E12*IF(Inputs!C2="Low",Inputs!C36,IF(Inputs!C2="High",Inputs!C38,Inputs!C37))*Inputs!E22*IF(Inputs!C2="Low",Inputs!E36,IF(Inputs!C2="High",Inputs!E38,Inputs!E37))</f>
      </c>
      <c r="F8" s="3">
        <f>SUM(C8:E8)</f>
      </c>
    </row>
    <row r="9" spans="1:6" x14ac:dyDescent="0.25">
      <c r="A9" t="s">
        <v>145</v>
      </c>
      <c r="B9" t="s">
        <v>146</v>
      </c>
      <c r="C9" s="3">
        <f>(C3*Inputs!C24)/(1024*1024)</f>
      </c>
      <c r="D9" s="3">
        <f>(D3*Inputs!D24)/(1024*1024)</f>
      </c>
      <c r="E9" s="3">
        <f>(E3*Inputs!E24)/(1024*1024)</f>
      </c>
      <c r="F9" s="3">
        <f>SUM(C9:E9)</f>
      </c>
    </row>
    <row r="10" spans="1:6" x14ac:dyDescent="0.25">
      <c r="A10" t="s">
        <v>147</v>
      </c>
      <c r="B10" t="s">
        <v>148</v>
      </c>
      <c r="C10" s="3">
        <f>C3*Inputs!C25</f>
      </c>
      <c r="D10" s="3">
        <f>D3*Inputs!D25</f>
      </c>
      <c r="E10" s="3">
        <f>E3*Inputs!E25</f>
      </c>
      <c r="F10" s="3">
        <f>SUM(C10:E10)</f>
      </c>
    </row>
    <row r="11" spans="1:6" x14ac:dyDescent="0.25">
      <c r="A11" t="s">
        <v>149</v>
      </c>
      <c r="B11" t="s">
        <v>150</v>
      </c>
      <c r="C11" s="3">
        <f>(Inputs!C12/1000)*Inputs!C14*IF(Inputs!C2="Low",Inputs!D36,IF(Inputs!C2="High",Inputs!D38,Inputs!D37))</f>
      </c>
      <c r="D11" s="3">
        <f>(Inputs!D12/1000)*Inputs!D14*IF(Inputs!C2="Low",Inputs!D36,IF(Inputs!C2="High",Inputs!D38,Inputs!D37))</f>
      </c>
      <c r="E11" s="3">
        <f>(Inputs!E12/1000)*Inputs!E14*IF(Inputs!C2="Low",Inputs!D36,IF(Inputs!C2="High",Inputs!D38,Inputs!D37))</f>
      </c>
      <c r="F11" s="3">
        <f>SUM(C11:E11)</f>
      </c>
    </row>
    <row r="12" spans="1:6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s="3">
        <f>Inputs!C4*60*Inputs!C59*Inputs!C60*(1-Inputs!C61)</f>
      </c>
    </row>
    <row r="13" spans="1:6" x14ac:dyDescent="0.25">
      <c r="A13" t="s">
        <v>154</v>
      </c>
      <c r="B13" t="s">
        <v>155</v>
      </c>
      <c r="C13" t="s">
        <v>153</v>
      </c>
      <c r="D13" t="s">
        <v>153</v>
      </c>
      <c r="E13" t="s">
        <v>153</v>
      </c>
      <c r="F13" s="3">
        <f>MAX(1,ROUNDUP(F5/F12,0))</f>
      </c>
    </row>
    <row r="14" spans="1:6" x14ac:dyDescent="0.25">
      <c r="A14" t="s">
        <v>156</v>
      </c>
      <c r="B14" t="s">
        <v>157</v>
      </c>
      <c r="C14" t="s">
        <v>153</v>
      </c>
      <c r="D14" t="s">
        <v>153</v>
      </c>
      <c r="E14" t="s">
        <v>153</v>
      </c>
      <c r="F14" s="3">
        <f>MAX(1,ROUNDUP((F11*Inputs!C5)/Inputs!C62,0))</f>
      </c>
    </row>
    <row r="15" spans="1:6" x14ac:dyDescent="0.25">
      <c r="A15" t="s">
        <v>158</v>
      </c>
      <c r="B15" t="s">
        <v>159</v>
      </c>
      <c r="C15" t="s">
        <v>153</v>
      </c>
      <c r="D15" t="s">
        <v>153</v>
      </c>
      <c r="E15" t="s">
        <v>153</v>
      </c>
      <c r="F15" s="3">
        <f>MAX(Inputs!C6,F13,F14)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16" customWidth="1"/>
    <col min="4" max="4" width="14" customWidth="1"/>
    <col min="5" max="5" width="24" customWidth="1"/>
  </cols>
  <sheetData>
    <row r="1" spans="1:5" x14ac:dyDescent="0.25">
      <c r="A1" s="1" t="s">
        <v>160</v>
      </c>
      <c r="B1" s="1" t="s">
        <v>88</v>
      </c>
      <c r="C1" s="1" t="s">
        <v>161</v>
      </c>
      <c r="D1" s="1" t="s">
        <v>19</v>
      </c>
      <c r="E1" s="1" t="s">
        <v>162</v>
      </c>
    </row>
    <row r="2" spans="1:5" x14ac:dyDescent="0.25">
      <c r="A2" t="s">
        <v>163</v>
      </c>
      <c r="B2" t="s">
        <v>89</v>
      </c>
      <c r="C2">
        <v>0.172</v>
      </c>
      <c r="D2" t="s">
        <v>90</v>
      </c>
      <c r="E2" t="s">
        <v>3</v>
      </c>
    </row>
    <row r="3" spans="1:5" x14ac:dyDescent="0.25">
      <c r="A3" t="s">
        <v>163</v>
      </c>
      <c r="B3" t="s">
        <v>164</v>
      </c>
      <c r="C3">
        <v>889</v>
      </c>
      <c r="D3" t="s">
        <v>92</v>
      </c>
      <c r="E3" t="s">
        <v>3</v>
      </c>
    </row>
    <row r="4" spans="1:5" x14ac:dyDescent="0.25">
      <c r="A4" t="s">
        <v>163</v>
      </c>
      <c r="B4" t="s">
        <v>165</v>
      </c>
      <c r="C4">
        <v>1718</v>
      </c>
      <c r="D4" t="s">
        <v>92</v>
      </c>
      <c r="E4" t="s">
        <v>3</v>
      </c>
    </row>
    <row r="5" spans="1:5" x14ac:dyDescent="0.25">
      <c r="A5" t="s">
        <v>166</v>
      </c>
      <c r="B5" t="s">
        <v>167</v>
      </c>
      <c r="C5">
        <v>0.089</v>
      </c>
      <c r="D5" t="s">
        <v>90</v>
      </c>
      <c r="E5" t="s">
        <v>3</v>
      </c>
    </row>
    <row r="6" spans="1:5" x14ac:dyDescent="0.25">
      <c r="A6" t="s">
        <v>166</v>
      </c>
      <c r="B6" t="s">
        <v>168</v>
      </c>
      <c r="C6">
        <v>468</v>
      </c>
      <c r="D6" t="s">
        <v>92</v>
      </c>
      <c r="E6" t="s">
        <v>3</v>
      </c>
    </row>
    <row r="7" spans="1:5" x14ac:dyDescent="0.25">
      <c r="A7" t="s">
        <v>166</v>
      </c>
      <c r="B7" t="s">
        <v>169</v>
      </c>
      <c r="C7">
        <v>936</v>
      </c>
      <c r="D7" t="s">
        <v>92</v>
      </c>
      <c r="E7" t="s">
        <v>3</v>
      </c>
    </row>
    <row r="8" spans="1:5" x14ac:dyDescent="0.25">
      <c r="A8" t="s">
        <v>166</v>
      </c>
      <c r="B8" t="s">
        <v>170</v>
      </c>
      <c r="C8">
        <v>0.115</v>
      </c>
      <c r="D8" t="s">
        <v>98</v>
      </c>
      <c r="E8" t="s">
        <v>3</v>
      </c>
    </row>
    <row r="9" spans="1:5" x14ac:dyDescent="0.25">
      <c r="A9" t="s">
        <v>166</v>
      </c>
      <c r="B9" t="s">
        <v>171</v>
      </c>
      <c r="C9">
        <v>0.095</v>
      </c>
      <c r="D9" t="s">
        <v>98</v>
      </c>
      <c r="E9" t="s">
        <v>3</v>
      </c>
    </row>
    <row r="10" spans="1:5" x14ac:dyDescent="0.25">
      <c r="A10" t="s">
        <v>172</v>
      </c>
      <c r="B10" t="s">
        <v>173</v>
      </c>
      <c r="C10">
        <v>0.0208</v>
      </c>
      <c r="D10" t="s">
        <v>98</v>
      </c>
      <c r="E10" t="s">
        <v>3</v>
      </c>
    </row>
    <row r="11" spans="1:5" x14ac:dyDescent="0.25">
      <c r="A11" t="s">
        <v>172</v>
      </c>
      <c r="B11" t="s">
        <v>174</v>
      </c>
      <c r="C11">
        <v>0.05</v>
      </c>
      <c r="D11" t="s">
        <v>175</v>
      </c>
      <c r="E11" t="s">
        <v>3</v>
      </c>
    </row>
    <row r="12" spans="1:5" x14ac:dyDescent="0.25">
      <c r="A12" t="s">
        <v>172</v>
      </c>
      <c r="B12" t="s">
        <v>176</v>
      </c>
      <c r="C12">
        <v>0.004</v>
      </c>
      <c r="D12" t="s">
        <v>175</v>
      </c>
      <c r="E12" t="s">
        <v>3</v>
      </c>
    </row>
    <row r="13" spans="1:5" x14ac:dyDescent="0.25">
      <c r="A13" t="s">
        <v>80</v>
      </c>
      <c r="B13" t="s">
        <v>177</v>
      </c>
      <c r="C13">
        <v>0.045</v>
      </c>
      <c r="D13" t="s">
        <v>98</v>
      </c>
      <c r="E13" t="s">
        <v>3</v>
      </c>
    </row>
    <row r="14" spans="1:5" x14ac:dyDescent="0.25">
      <c r="A14" t="s">
        <v>80</v>
      </c>
      <c r="B14" t="s">
        <v>178</v>
      </c>
      <c r="C14">
        <v>0.00036</v>
      </c>
      <c r="D14" t="s">
        <v>175</v>
      </c>
      <c r="E14" t="s">
        <v>3</v>
      </c>
    </row>
    <row r="15" spans="1:5" x14ac:dyDescent="0.25">
      <c r="A15" t="s">
        <v>72</v>
      </c>
      <c r="B15" t="s">
        <v>106</v>
      </c>
      <c r="C15">
        <v>0.04</v>
      </c>
      <c r="D15" t="s">
        <v>107</v>
      </c>
      <c r="E15" t="s">
        <v>3</v>
      </c>
    </row>
    <row r="16" spans="1:5" x14ac:dyDescent="0.25">
      <c r="A16" t="s">
        <v>72</v>
      </c>
      <c r="B16" t="s">
        <v>179</v>
      </c>
      <c r="C16">
        <v>0.005</v>
      </c>
      <c r="D16" t="s">
        <v>90</v>
      </c>
      <c r="E16" t="s">
        <v>3</v>
      </c>
    </row>
    <row r="17" spans="1:5" x14ac:dyDescent="0.25">
      <c r="A17" t="s">
        <v>163</v>
      </c>
      <c r="B17" t="s">
        <v>180</v>
      </c>
      <c r="C17">
        <v>5.2795</v>
      </c>
      <c r="D17" t="s">
        <v>110</v>
      </c>
      <c r="E1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20" customWidth="1"/>
    <col min="5" max="5" width="14" customWidth="1"/>
  </cols>
  <sheetData>
    <row r="1" spans="1:5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</row>
    <row r="2" spans="1:5" x14ac:dyDescent="0.25">
      <c r="A2" t="s">
        <v>186</v>
      </c>
      <c r="B2" t="s">
        <v>187</v>
      </c>
      <c r="C2" s="3">
        <f>Inputs!C41*Inputs!C4*Formulas!F15</f>
      </c>
      <c r="D2" s="3">
        <f>Inputs!C41*Inputs!C4*Formulas!F15*12</f>
      </c>
      <c r="E2" s="3">
        <f>C2/SUM(C2:C13)</f>
      </c>
    </row>
    <row r="3" spans="1:5" x14ac:dyDescent="0.25">
      <c r="A3" t="s">
        <v>188</v>
      </c>
      <c r="B3" t="s">
        <v>189</v>
      </c>
      <c r="C3" s="3">
        <f>Inputs!C55*Inputs!C4</f>
      </c>
      <c r="D3" s="3">
        <f>Inputs!C55*Inputs!C4*12</f>
      </c>
      <c r="E3" s="3">
        <f>C3/SUM(C2:C13)</f>
      </c>
    </row>
    <row r="4" spans="1:5" x14ac:dyDescent="0.25">
      <c r="A4" t="s">
        <v>190</v>
      </c>
      <c r="B4" t="s">
        <v>191</v>
      </c>
      <c r="C4" s="3">
        <f>Inputs!C56</f>
      </c>
      <c r="D4" s="3">
        <f>Inputs!C56*12</f>
      </c>
      <c r="E4" s="3">
        <f>C4/SUM(C2:C13)</f>
      </c>
    </row>
    <row r="5" spans="1:5" x14ac:dyDescent="0.25">
      <c r="A5" t="s">
        <v>192</v>
      </c>
      <c r="B5" t="s">
        <v>193</v>
      </c>
      <c r="C5" s="3">
        <f>(Inputs!C46/36)*Inputs!C12</f>
      </c>
      <c r="D5" s="3">
        <f>(Inputs!C46/36)*Inputs!C12*12</f>
      </c>
      <c r="E5" s="3">
        <f>C5/SUM(C2:C13)</f>
      </c>
    </row>
    <row r="6" spans="1:5" x14ac:dyDescent="0.25">
      <c r="A6" t="s">
        <v>97</v>
      </c>
      <c r="B6" t="s">
        <v>194</v>
      </c>
      <c r="C6" s="3">
        <f>Inputs!C47*Inputs!C13</f>
      </c>
      <c r="D6" s="3">
        <f>Inputs!C47*Inputs!C13*12</f>
      </c>
      <c r="E6" s="3">
        <f>C6/SUM(C2:C13)</f>
      </c>
    </row>
    <row r="7" spans="1:5" x14ac:dyDescent="0.25">
      <c r="A7" t="s">
        <v>195</v>
      </c>
      <c r="B7" t="s">
        <v>196</v>
      </c>
      <c r="C7" s="3">
        <f>Inputs!C48*Inputs!C13*Inputs!C9</f>
      </c>
      <c r="D7" s="3">
        <f>Inputs!C48*Inputs!C13*Inputs!C9*12</f>
      </c>
      <c r="E7" s="3">
        <f>C7/SUM(C2:C13)</f>
      </c>
    </row>
    <row r="8" spans="1:5" x14ac:dyDescent="0.25">
      <c r="A8" t="s">
        <v>197</v>
      </c>
      <c r="B8" t="s">
        <v>198</v>
      </c>
      <c r="C8" s="3">
        <f>Inputs!C49*MAX(Inputs!C14,Formulas!F6*Inputs!C15)</f>
      </c>
      <c r="D8" s="3">
        <f>Inputs!C49*MAX(Inputs!C14,Formulas!F6*Inputs!C15)*12</f>
      </c>
      <c r="E8" s="3">
        <f>C8/SUM(C2:C13)</f>
      </c>
    </row>
    <row r="9" spans="1:5" x14ac:dyDescent="0.25">
      <c r="A9" t="s">
        <v>101</v>
      </c>
      <c r="B9" t="s">
        <v>199</v>
      </c>
      <c r="C9" s="3">
        <f>Inputs!C50*(Formulas!F4/10000)</f>
      </c>
      <c r="D9" s="3">
        <f>Inputs!C50*(Formulas!F4/10000)*12</f>
      </c>
      <c r="E9" s="3">
        <f>C9/SUM(C2:C13)</f>
      </c>
    </row>
    <row r="10" spans="1:5" x14ac:dyDescent="0.25">
      <c r="A10" t="s">
        <v>103</v>
      </c>
      <c r="B10" t="s">
        <v>200</v>
      </c>
      <c r="C10" s="3">
        <f>Inputs!C51*(Formulas!F7/10000)</f>
      </c>
      <c r="D10" s="3">
        <f>Inputs!C51*(Formulas!F7/10000)*12</f>
      </c>
      <c r="E10" s="3">
        <f>C10/SUM(C2:C13)</f>
      </c>
    </row>
    <row r="11" spans="1:5" x14ac:dyDescent="0.25">
      <c r="A11" t="s">
        <v>201</v>
      </c>
      <c r="B11" t="s">
        <v>202</v>
      </c>
      <c r="C11" s="3">
        <f>Inputs!C52*MAX(Inputs!C16,Formulas!F9*Inputs!C17)</f>
      </c>
      <c r="D11" s="3">
        <f>Inputs!C52*MAX(Inputs!C16,Formulas!F9*Inputs!C17)*12</f>
      </c>
      <c r="E11" s="3">
        <f>C11/SUM(C2:C13)</f>
      </c>
    </row>
    <row r="12" spans="1:5" x14ac:dyDescent="0.25">
      <c r="A12" t="s">
        <v>105</v>
      </c>
      <c r="B12" t="s">
        <v>203</v>
      </c>
      <c r="C12" s="3">
        <f>Inputs!C53*(Formulas!F10/10000)</f>
      </c>
      <c r="D12" s="3">
        <f>Inputs!C53*(Formulas!F10/10000)*12</f>
      </c>
      <c r="E12" s="3">
        <f>C12/SUM(C2:C13)</f>
      </c>
    </row>
    <row r="13" spans="1:5" x14ac:dyDescent="0.25">
      <c r="A13" t="s">
        <v>204</v>
      </c>
      <c r="B13" t="s">
        <v>205</v>
      </c>
      <c r="C13" s="3">
        <f>Inputs!C54*Formulas!F8</f>
      </c>
      <c r="D13" s="3">
        <f>Inputs!C54*Formulas!F8*12</f>
      </c>
      <c r="E13" s="3">
        <f>C13/SUM(C2:C13)</f>
      </c>
    </row>
    <row r="14" spans="1:5" x14ac:dyDescent="0.25">
      <c r="A14" s="1" t="s">
        <v>130</v>
      </c>
      <c r="B14" s="1" t="s">
        <v>206</v>
      </c>
      <c r="C14" s="1">
        <f>SUM(C2:C13)</f>
      </c>
      <c r="D14" s="1">
        <f>SUM(D2:D13)</f>
      </c>
      <c r="E14" s="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5" width="20" customWidth="1"/>
  </cols>
  <sheetData>
    <row r="1" spans="1:5" x14ac:dyDescent="0.25">
      <c r="A1" s="1" t="s">
        <v>208</v>
      </c>
      <c r="B1" s="1" t="s">
        <v>183</v>
      </c>
      <c r="C1" s="1" t="s">
        <v>184</v>
      </c>
      <c r="D1" s="1" t="s">
        <v>209</v>
      </c>
      <c r="E1" s="1" t="s">
        <v>210</v>
      </c>
    </row>
    <row r="2" spans="1:5" x14ac:dyDescent="0.25">
      <c r="A2" t="s">
        <v>211</v>
      </c>
      <c r="B2" s="3">
        <f>Cost_Breakdown!C14</f>
      </c>
      <c r="C2" s="3">
        <f>Cost_Breakdown!C14*12</f>
      </c>
      <c r="D2" s="3">
        <f>B2-(Cost_Breakdown!C14)</f>
      </c>
      <c r="E2" s="3">
        <f>IF(B2=0,0,(B2-(Cost_Breakdown!C14))/B2)</f>
      </c>
    </row>
    <row r="3" spans="1:5" x14ac:dyDescent="0.25">
      <c r="A3" t="s">
        <v>212</v>
      </c>
      <c r="B3" s="3">
        <f>Cost_Breakdown!C14 - Cost_Breakdown!C2 + (Inputs!C42/12)*Formulas!F15</f>
      </c>
      <c r="C3" s="3">
        <f>Cost_Breakdown!C14 - Cost_Breakdown!C2 + (Inputs!C42/12)*Formulas!F15*12</f>
      </c>
      <c r="D3" s="3">
        <f>B2-(Cost_Breakdown!C14 - Cost_Breakdown!C2 + (Inputs!C42/12)*Formulas!F15)</f>
      </c>
      <c r="E3" s="3">
        <f>IF(B2=0,0,(B2-(Cost_Breakdown!C14 - Cost_Breakdown!C2 + (Inputs!C42/12)*Formulas!F15))/B2)</f>
      </c>
    </row>
    <row r="4" spans="1:5" x14ac:dyDescent="0.25">
      <c r="A4" t="s">
        <v>213</v>
      </c>
      <c r="B4" s="3">
        <f>Cost_Breakdown!C14 - Cost_Breakdown!C2 + (Inputs!C43/36)*Formulas!F15</f>
      </c>
      <c r="C4" s="3">
        <f>Cost_Breakdown!C14 - Cost_Breakdown!C2 + (Inputs!C43/36)*Formulas!F15*12</f>
      </c>
      <c r="D4" s="3">
        <f>B2-(Cost_Breakdown!C14 - Cost_Breakdown!C2 + (Inputs!C43/36)*Formulas!F15)</f>
      </c>
      <c r="E4" s="3">
        <f>IF(B2=0,0,(B2-(Cost_Breakdown!C14 - Cost_Breakdown!C2 + (Inputs!C43/36)*Formulas!F15))/B2)</f>
      </c>
    </row>
    <row r="5" spans="1:5" x14ac:dyDescent="0.25">
      <c r="A5" t="s">
        <v>214</v>
      </c>
      <c r="B5" s="3">
        <f>Cost_Breakdown!C14 - Cost_Breakdown!C5 + (Inputs!C45/12)*Inputs!C12</f>
      </c>
      <c r="C5" s="3">
        <f>Cost_Breakdown!C14 - Cost_Breakdown!C5 + (Inputs!C45/12)*Inputs!C12*12</f>
      </c>
      <c r="D5" s="3">
        <f>B2-(Cost_Breakdown!C14 - Cost_Breakdown!C5 + (Inputs!C45/12)*Inputs!C12)</f>
      </c>
      <c r="E5" s="3">
        <f>IF(B2=0,0,(B2-(Cost_Breakdown!C14 - Cost_Breakdown!C5 + (Inputs!C45/12)*Inputs!C12))/B2)</f>
      </c>
    </row>
    <row r="6" spans="1:5" x14ac:dyDescent="0.25">
      <c r="A6" t="s">
        <v>215</v>
      </c>
      <c r="B6" s="3">
        <f>Cost_Breakdown!C14 - Cost_Breakdown!C5 + (Inputs!C46/36)*Inputs!C12</f>
      </c>
      <c r="C6" s="3">
        <f>Cost_Breakdown!C14 - Cost_Breakdown!C5 + (Inputs!C46/36)*Inputs!C12*12</f>
      </c>
      <c r="D6" s="3">
        <f>B2-(Cost_Breakdown!C14 - Cost_Breakdown!C5 + (Inputs!C46/36)*Inputs!C12)</f>
      </c>
      <c r="E6" s="3">
        <f>IF(B2=0,0,(B2-(Cost_Breakdown!C14 - Cost_Breakdown!C5 + (Inputs!C46/36)*Inputs!C12))/B2)</f>
      </c>
    </row>
    <row r="7" spans="1:5" x14ac:dyDescent="0.25">
      <c r="A7" t="s">
        <v>216</v>
      </c>
      <c r="B7" s="3">
        <f>Cost_Breakdown!C14 - Cost_Breakdown!C2 - Cost_Breakdown!C5 + (Inputs!C42/12)*Formulas!F15 + (Inputs!C45/12)*Inputs!C12</f>
      </c>
      <c r="C7" s="3">
        <f>Cost_Breakdown!C14 - Cost_Breakdown!C2 - Cost_Breakdown!C5 + (Inputs!C42/12)*Formulas!F15 + (Inputs!C45/12)*Inputs!C12*12</f>
      </c>
      <c r="D7" s="3">
        <f>B2-(Cost_Breakdown!C14 - Cost_Breakdown!C2 - Cost_Breakdown!C5 + (Inputs!C42/12)*Formulas!F15 + (Inputs!C45/12)*Inputs!C12)</f>
      </c>
      <c r="E7" s="3">
        <f>IF(B2=0,0,(B2-(Cost_Breakdown!C14 - Cost_Breakdown!C2 - Cost_Breakdown!C5 + (Inputs!C42/12)*Formulas!F15 + (Inputs!C45/12)*Inputs!C12))/B2)</f>
      </c>
    </row>
    <row r="8" spans="1:5" x14ac:dyDescent="0.25">
      <c r="A8" t="s">
        <v>217</v>
      </c>
      <c r="B8" s="3">
        <f>Cost_Breakdown!C14 - Cost_Breakdown!C2 - Cost_Breakdown!C5 + (Inputs!C43/36)*Formulas!F15 + (Inputs!C46/36)*Inputs!C12</f>
      </c>
      <c r="C8" s="3">
        <f>Cost_Breakdown!C14 - Cost_Breakdown!C2 - Cost_Breakdown!C5 + (Inputs!C43/36)*Formulas!F15 + (Inputs!C46/36)*Inputs!C12*12</f>
      </c>
      <c r="D8" s="3">
        <f>B2-(Cost_Breakdown!C14 - Cost_Breakdown!C2 - Cost_Breakdown!C5 + (Inputs!C43/36)*Formulas!F15 + (Inputs!C46/36)*Inputs!C12)</f>
      </c>
      <c r="E8" s="3">
        <f>IF(B2=0,0,(B2-(Cost_Breakdown!C14 - Cost_Breakdown!C2 - Cost_Breakdown!C5 + (Inputs!C43/36)*Formulas!F15 + (Inputs!C46/36)*Inputs!C12))/B2)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24" customWidth="1"/>
    <col min="3" max="3" width="44" customWidth="1"/>
  </cols>
  <sheetData>
    <row r="1" spans="1:3" x14ac:dyDescent="0.25">
      <c r="A1" s="1" t="s">
        <v>128</v>
      </c>
      <c r="B1" s="1" t="s">
        <v>18</v>
      </c>
      <c r="C1" s="1" t="s">
        <v>218</v>
      </c>
    </row>
    <row r="2" spans="1:3" x14ac:dyDescent="0.25">
      <c r="A2" t="s">
        <v>219</v>
      </c>
      <c r="B2" s="3">
        <f>Cost_Breakdown!C14</f>
      </c>
      <c r="C2" t="s">
        <v>220</v>
      </c>
    </row>
    <row r="3" spans="1:3" x14ac:dyDescent="0.25">
      <c r="A3" t="s">
        <v>221</v>
      </c>
      <c r="B3" s="3">
        <f>B2/(1-Inputs!C65)</f>
      </c>
      <c r="C3" t="s">
        <v>222</v>
      </c>
    </row>
    <row r="4" spans="1:3" x14ac:dyDescent="0.25">
      <c r="A4" t="s">
        <v>223</v>
      </c>
      <c r="B4" s="3">
        <f>B2/(1-Inputs!C66)</f>
      </c>
      <c r="C4" t="s">
        <v>222</v>
      </c>
    </row>
    <row r="5" spans="2:2" x14ac:dyDescent="0.25">
      <c r="B5" s="3"/>
    </row>
    <row r="6" spans="1:3" x14ac:dyDescent="0.25">
      <c r="A6" t="s">
        <v>224</v>
      </c>
      <c r="B6" s="3">
        <f>Inputs!D12*IF(Inputs!C2="Low",Inputs!C36,IF(Inputs!C2="High",Inputs!C38,Inputs!C37))</f>
      </c>
      <c r="C6" t="s">
        <v>225</v>
      </c>
    </row>
    <row r="7" spans="1:3" x14ac:dyDescent="0.25">
      <c r="A7" t="s">
        <v>226</v>
      </c>
      <c r="B7" s="3">
        <f>Inputs!E12*IF(Inputs!C2="Low",Inputs!C36,IF(Inputs!C2="High",Inputs!C38,Inputs!C37))</f>
      </c>
      <c r="C7" t="s">
        <v>227</v>
      </c>
    </row>
    <row r="8" spans="1:3" x14ac:dyDescent="0.25">
      <c r="A8" t="s">
        <v>228</v>
      </c>
      <c r="B8" s="3">
        <f>((Inputs!C12+Inputs!D12+Inputs!E12)*IF(Inputs!C2="Low",Inputs!C36,IF(Inputs!C2="High",Inputs!C38,Inputs!C37)))</f>
      </c>
      <c r="C8" t="s">
        <v>229</v>
      </c>
    </row>
    <row r="9" spans="1:3" x14ac:dyDescent="0.25">
      <c r="A9" t="s">
        <v>230</v>
      </c>
      <c r="B9" s="3">
        <f>B8*Inputs!C69</f>
      </c>
      <c r="C9" t="s">
        <v>231</v>
      </c>
    </row>
    <row r="10" spans="1:3" x14ac:dyDescent="0.25">
      <c r="A10" t="s">
        <v>232</v>
      </c>
      <c r="B10" s="3">
        <f>B8*Inputs!C70</f>
      </c>
      <c r="C10" t="s">
        <v>231</v>
      </c>
    </row>
    <row r="11" spans="1:3" x14ac:dyDescent="0.25">
      <c r="A11" t="s">
        <v>233</v>
      </c>
      <c r="B11" s="3">
        <f>B6+B7</f>
      </c>
      <c r="C11" t="s">
        <v>234</v>
      </c>
    </row>
    <row r="12" spans="1:3" x14ac:dyDescent="0.25">
      <c r="A12" t="s">
        <v>235</v>
      </c>
      <c r="B12" s="3">
        <f>Inputs!C68</f>
      </c>
      <c r="C12" t="s">
        <v>236</v>
      </c>
    </row>
    <row r="13" spans="1:3" x14ac:dyDescent="0.25">
      <c r="A13" t="s">
        <v>237</v>
      </c>
      <c r="B13" s="3">
        <f>IF(B12="conversion_based",B9,B6)</f>
      </c>
      <c r="C13" t="s">
        <v>238</v>
      </c>
    </row>
    <row r="14" spans="1:3" x14ac:dyDescent="0.25">
      <c r="A14" t="s">
        <v>239</v>
      </c>
      <c r="B14" s="3">
        <f>IF(B12="conversion_based",B10,B7)</f>
      </c>
      <c r="C14" t="s">
        <v>238</v>
      </c>
    </row>
    <row r="15" spans="1:3" x14ac:dyDescent="0.25">
      <c r="A15" t="s">
        <v>240</v>
      </c>
      <c r="B15" s="3">
        <f>B13+B14</f>
      </c>
      <c r="C15" t="s">
        <v>241</v>
      </c>
    </row>
    <row r="16" spans="1:3" x14ac:dyDescent="0.25">
      <c r="A16" t="s">
        <v>121</v>
      </c>
      <c r="B16" s="3">
        <f>Inputs!C67</f>
      </c>
      <c r="C16" t="s">
        <v>242</v>
      </c>
    </row>
    <row r="17" spans="1:3" x14ac:dyDescent="0.25">
      <c r="A17" t="s">
        <v>243</v>
      </c>
      <c r="B17" s="3">
        <f>B13 + (B14*B16)</f>
      </c>
      <c r="C17" t="s">
        <v>244</v>
      </c>
    </row>
    <row r="18" spans="2:2" x14ac:dyDescent="0.25">
      <c r="B18" s="3"/>
    </row>
    <row r="19" spans="1:3" x14ac:dyDescent="0.25">
      <c r="A19" t="s">
        <v>245</v>
      </c>
      <c r="B19" s="3">
        <f>IF(B17=0,0,B3/B17)</f>
      </c>
      <c r="C19" t="s">
        <v>246</v>
      </c>
    </row>
    <row r="20" spans="1:3" x14ac:dyDescent="0.25">
      <c r="A20" t="s">
        <v>247</v>
      </c>
      <c r="B20" s="3">
        <f>B19*B16</f>
      </c>
      <c r="C20" t="s">
        <v>248</v>
      </c>
    </row>
    <row r="21" spans="1:3" x14ac:dyDescent="0.25">
      <c r="A21" t="s">
        <v>249</v>
      </c>
      <c r="B21" s="3">
        <f>IF(B15=0,0,B3/B15)</f>
      </c>
      <c r="C21" t="s">
        <v>250</v>
      </c>
    </row>
    <row r="22" spans="2:2" x14ac:dyDescent="0.25">
      <c r="B22" s="3"/>
    </row>
    <row r="23" spans="1:3" x14ac:dyDescent="0.25">
      <c r="A23" t="s">
        <v>251</v>
      </c>
      <c r="B23" s="3">
        <f>IF(B17=0,0,B4/B17)</f>
      </c>
      <c r="C23" t="s">
        <v>246</v>
      </c>
    </row>
    <row r="24" spans="1:3" x14ac:dyDescent="0.25">
      <c r="A24" t="s">
        <v>252</v>
      </c>
      <c r="B24" s="3">
        <f>B23*B16</f>
      </c>
      <c r="C24" t="s">
        <v>248</v>
      </c>
    </row>
    <row r="25" spans="1:3" x14ac:dyDescent="0.25">
      <c r="A25" t="s">
        <v>253</v>
      </c>
      <c r="B25" s="3">
        <f>IF(B15=0,0,B4/B15)</f>
      </c>
      <c r="C25" t="s">
        <v>250</v>
      </c>
    </row>
    <row r="26" spans="2:2" x14ac:dyDescent="0.25">
      <c r="B26" s="3"/>
    </row>
    <row r="27" spans="1:3" x14ac:dyDescent="0.25">
      <c r="A27" t="s">
        <v>254</v>
      </c>
      <c r="B27" s="3">
        <f>IF((B23*B13+B24*B14)=0,0,1-(B2/(B23*B13+B24*B14)))</f>
      </c>
      <c r="C27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4" width="18" customWidth="1"/>
  </cols>
  <sheetData>
    <row r="1" spans="1:4" x14ac:dyDescent="0.25">
      <c r="A1" s="1" t="s">
        <v>256</v>
      </c>
      <c r="B1" s="1" t="s">
        <v>257</v>
      </c>
      <c r="C1" s="1" t="s">
        <v>183</v>
      </c>
      <c r="D1" s="1" t="s">
        <v>258</v>
      </c>
    </row>
    <row r="2" spans="1:4" x14ac:dyDescent="0.25">
      <c r="A2" t="s">
        <v>24</v>
      </c>
      <c r="B2">
        <v>1</v>
      </c>
      <c r="C2" s="3">
        <f>Cost_Breakdown!C14</f>
      </c>
      <c r="D2" s="3">
        <v>0</v>
      </c>
    </row>
    <row r="3" spans="1:4" x14ac:dyDescent="0.25">
      <c r="A3" t="s">
        <v>259</v>
      </c>
      <c r="B3">
        <v>0.75</v>
      </c>
      <c r="C3" s="3">
        <f>Cost_Breakdown!C14*0.75</f>
      </c>
      <c r="D3" s="3">
        <f>C3-C2</f>
      </c>
    </row>
    <row r="4" spans="1:4" x14ac:dyDescent="0.25">
      <c r="A4" t="s">
        <v>260</v>
      </c>
      <c r="B4">
        <v>1.25</v>
      </c>
      <c r="C4" s="3">
        <f>Cost_Breakdown!C14*1.25</f>
      </c>
      <c r="D4" s="3">
        <f>C4-C2</f>
      </c>
    </row>
    <row r="5" spans="1:4" x14ac:dyDescent="0.25">
      <c r="A5" t="s">
        <v>261</v>
      </c>
      <c r="B5">
        <v>1.5</v>
      </c>
      <c r="C5" s="3">
        <f>Cost_Breakdown!C14*1.5</f>
      </c>
      <c r="D5" s="3">
        <f>C5-C2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30" customWidth="1"/>
  </cols>
  <sheetData>
    <row r="1" spans="1:3" x14ac:dyDescent="0.25">
      <c r="A1" s="1" t="s">
        <v>128</v>
      </c>
      <c r="B1" s="1" t="s">
        <v>18</v>
      </c>
      <c r="C1" s="1" t="s">
        <v>262</v>
      </c>
    </row>
    <row r="2" spans="1:3" x14ac:dyDescent="0.25">
      <c r="A2" t="s">
        <v>263</v>
      </c>
      <c r="B2" s="3">
        <f>Inputs!C2</f>
      </c>
      <c r="C2" t="s">
        <v>264</v>
      </c>
    </row>
    <row r="3" spans="1:3" x14ac:dyDescent="0.25">
      <c r="A3" t="s">
        <v>265</v>
      </c>
      <c r="B3" s="3">
        <f>Cost_Breakdown!C14</f>
      </c>
      <c r="C3" t="s">
        <v>110</v>
      </c>
    </row>
    <row r="4" spans="1:3" x14ac:dyDescent="0.25">
      <c r="A4" t="s">
        <v>266</v>
      </c>
      <c r="B4" s="3">
        <f>Cost_Breakdown!D14</f>
      </c>
      <c r="C4" t="s">
        <v>267</v>
      </c>
    </row>
    <row r="5" spans="1:3" x14ac:dyDescent="0.25">
      <c r="A5" t="s">
        <v>268</v>
      </c>
      <c r="B5" s="3">
        <f>Formulas!F15</f>
      </c>
      <c r="C5" t="s">
        <v>269</v>
      </c>
    </row>
    <row r="6" spans="1:3" x14ac:dyDescent="0.25">
      <c r="A6" t="s">
        <v>270</v>
      </c>
      <c r="B6" s="3">
        <f>Formulas!F13</f>
      </c>
      <c r="C6" t="s">
        <v>271</v>
      </c>
    </row>
    <row r="7" spans="1:3" x14ac:dyDescent="0.25">
      <c r="A7" t="s">
        <v>272</v>
      </c>
      <c r="B7" s="3">
        <f>Formulas!F14</f>
      </c>
      <c r="C7" t="s">
        <v>273</v>
      </c>
    </row>
    <row r="8" spans="1:3" x14ac:dyDescent="0.25">
      <c r="A8" t="s">
        <v>274</v>
      </c>
      <c r="B8" s="3">
        <f>MIN(Commitment_Compare!B2:B8)</f>
      </c>
      <c r="C8" t="s">
        <v>275</v>
      </c>
    </row>
    <row r="9" spans="1:3" x14ac:dyDescent="0.25">
      <c r="A9" t="s">
        <v>276</v>
      </c>
      <c r="B9" s="3">
        <f>Pricing_Strategy!B3</f>
      </c>
      <c r="C9" t="s">
        <v>277</v>
      </c>
    </row>
    <row r="10" spans="1:3" x14ac:dyDescent="0.25">
      <c r="A10" t="s">
        <v>278</v>
      </c>
      <c r="B10" s="3">
        <f>Pricing_Strategy!B4</f>
      </c>
      <c r="C10" t="s">
        <v>277</v>
      </c>
    </row>
    <row r="11" spans="1:3" x14ac:dyDescent="0.25">
      <c r="A11" t="s">
        <v>279</v>
      </c>
      <c r="B11" s="3">
        <f>Pricing_Strategy!B23</f>
      </c>
      <c r="C11" t="s">
        <v>277</v>
      </c>
    </row>
    <row r="12" spans="1:3" x14ac:dyDescent="0.25">
      <c r="A12" t="s">
        <v>280</v>
      </c>
      <c r="B12" s="3">
        <f>Pricing_Strategy!B24</f>
      </c>
      <c r="C12" t="s">
        <v>277</v>
      </c>
    </row>
    <row r="13" spans="1:3" x14ac:dyDescent="0.25">
      <c r="A13" t="s">
        <v>281</v>
      </c>
      <c r="B13" s="3" t="s">
        <v>217</v>
      </c>
      <c r="C13" t="s">
        <v>282</v>
      </c>
    </row>
    <row r="14" spans="1:3" x14ac:dyDescent="0.25">
      <c r="A14" t="s">
        <v>283</v>
      </c>
      <c r="B14" s="3" t="s">
        <v>284</v>
      </c>
      <c r="C14" t="s">
        <v>285</v>
      </c>
    </row>
    <row r="15" spans="1:3" x14ac:dyDescent="0.25">
      <c r="A15" t="s">
        <v>286</v>
      </c>
      <c r="B15" s="3" t="s">
        <v>287</v>
      </c>
      <c r="C15" t="s">
        <v>288</v>
      </c>
    </row>
    <row r="16" spans="1:3" x14ac:dyDescent="0.25">
      <c r="A16" t="s">
        <v>289</v>
      </c>
      <c r="B16" s="3" t="s">
        <v>3</v>
      </c>
      <c r="C16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Inputs</vt:lpstr>
      <vt:lpstr>Formulas</vt:lpstr>
      <vt:lpstr>Prices</vt:lpstr>
      <vt:lpstr>Cost_Breakdown</vt:lpstr>
      <vt:lpstr>Commitment_Compare</vt:lpstr>
      <vt:lpstr>Pricing_Strategy</vt:lpstr>
      <vt:lpstr>Sensitivity</vt:lpstr>
      <vt:lpstr>Finance_Summary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ArticlePod</dc:creator>
  <dc:title/>
  <dc:subject/>
  <dc:description/>
  <cp:keywords/>
  <cp:category/>
  <cp:lastModifiedBy>Unknown</cp:lastModifiedBy>
  <dcterms:created xsi:type="dcterms:W3CDTF">2026-02-15T00:29:43Z</dcterms:created>
  <dcterms:modified xsi:type="dcterms:W3CDTF">2026-02-15T00:29:43Z</dcterms:modified>
</cp:coreProperties>
</file>